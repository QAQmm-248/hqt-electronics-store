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\Downloads\"/>
    </mc:Choice>
  </mc:AlternateContent>
  <bookViews>
    <workbookView xWindow="0" yWindow="0" windowWidth="17256" windowHeight="5772" activeTab="3"/>
  </bookViews>
  <sheets>
    <sheet name="Tong_quan" sheetId="1" r:id="rId1"/>
    <sheet name="Chi_tiet_test" sheetId="2" r:id="rId2"/>
    <sheet name="Doi_chieu_du_lieu" sheetId="3" r:id="rId3"/>
    <sheet name="Tong_hop_rang_buoc" sheetId="4" r:id="rId4"/>
  </sheets>
  <calcPr calcId="162913"/>
</workbook>
</file>

<file path=xl/calcChain.xml><?xml version="1.0" encoding="utf-8"?>
<calcChain xmlns="http://schemas.openxmlformats.org/spreadsheetml/2006/main">
  <c r="D11" i="3" l="1"/>
  <c r="E11" i="3" s="1"/>
  <c r="D10" i="3"/>
  <c r="E10" i="3" s="1"/>
  <c r="D9" i="3"/>
  <c r="E9" i="3" s="1"/>
  <c r="D8" i="3"/>
  <c r="E8" i="3" s="1"/>
  <c r="D7" i="3"/>
  <c r="E7" i="3" s="1"/>
  <c r="D6" i="3"/>
  <c r="E6" i="3" s="1"/>
  <c r="D5" i="3"/>
  <c r="E5" i="3" s="1"/>
  <c r="D4" i="3"/>
  <c r="E4" i="3" s="1"/>
  <c r="D3" i="3"/>
  <c r="E3" i="3" s="1"/>
  <c r="D2" i="3"/>
  <c r="E2" i="3" s="1"/>
  <c r="B8" i="1"/>
</calcChain>
</file>

<file path=xl/sharedStrings.xml><?xml version="1.0" encoding="utf-8"?>
<sst xmlns="http://schemas.openxmlformats.org/spreadsheetml/2006/main" count="89" uniqueCount="75">
  <si>
    <t>BÁO CÁO KIỂM THỬ MODULE 06 – ERROR HANDLING &amp; DATA TESTING</t>
  </si>
  <si>
    <t>Cơ sở dữ liệu</t>
  </si>
  <si>
    <t>PhoneStore</t>
  </si>
  <si>
    <t>Hệ quản trị</t>
  </si>
  <si>
    <t>SQL Server 2022</t>
  </si>
  <si>
    <t>Ngày lập</t>
  </si>
  <si>
    <t>31/10/2026</t>
  </si>
  <si>
    <t>Tổng số test case</t>
  </si>
  <si>
    <t>PASS</t>
  </si>
  <si>
    <t>FAIL</t>
  </si>
  <si>
    <t>Tỷ lệ PASS</t>
  </si>
  <si>
    <t>Kết luận</t>
  </si>
  <si>
    <t>Cả 8 test case đều PASS. Số lượng bản ghi sau kiểm thử không thay đổi so với trước kiểm thử.</t>
  </si>
  <si>
    <t>TC</t>
  </si>
  <si>
    <t>Nhóm kiểm thử</t>
  </si>
  <si>
    <t>Dữ liệu / thao tác đầu vào</t>
  </si>
  <si>
    <t>Kết quả mong đợi</t>
  </si>
  <si>
    <t>Kết quả thực tế</t>
  </si>
  <si>
    <t>Trạng thái</t>
  </si>
  <si>
    <t>PRIMARY KEY</t>
  </si>
  <si>
    <t>Chèn UserId đã tồn tại (bật IDENTITY_INSERT)</t>
  </si>
  <si>
    <t>Từ chối bản ghi trùng khóa chính</t>
  </si>
  <si>
    <t>Lỗi PK_Users: duplicate key value (1)</t>
  </si>
  <si>
    <t>FOREIGN KEY</t>
  </si>
  <si>
    <t>Chèn StockReceiptItems với ReceiptId không tồn tại</t>
  </si>
  <si>
    <t>Từ chối do vi phạm khóa ngoại</t>
  </si>
  <si>
    <t>Lỗi FK_StockReceiptItems_Receipts</t>
  </si>
  <si>
    <t>UNIQUE</t>
  </si>
  <si>
    <t>Chèn Users với Username = 'admin' đã tồn tại</t>
  </si>
  <si>
    <t>Từ chối giá trị Username trùng</t>
  </si>
  <si>
    <t>Lỗi UQ_Users_Username: duplicate key 'admin'</t>
  </si>
  <si>
    <t>NOT NULL</t>
  </si>
  <si>
    <t>Chèn Users với PasswordHash = NULL</t>
  </si>
  <si>
    <t>Từ chối vì PasswordHash không được NULL</t>
  </si>
  <si>
    <t>Lỗi: PasswordHash cannot be NULL</t>
  </si>
  <si>
    <t>CHECK</t>
  </si>
  <si>
    <t>Chèn Supplier có số điện thoại sai định dạng</t>
  </si>
  <si>
    <t>Từ chối do vi phạm CHECK constraint</t>
  </si>
  <si>
    <t>Lỗi CK_Suppliers_Phone</t>
  </si>
  <si>
    <t>DEFAULT</t>
  </si>
  <si>
    <t>Thêm Brand nhưng bỏ qua IsActive</t>
  </si>
  <si>
    <t>Tự gán IsActive = 1</t>
  </si>
  <si>
    <t>Giá trị IsActive thực tế = 1</t>
  </si>
  <si>
    <t>BUSINESS RULE</t>
  </si>
  <si>
    <t>Gọi usp_CreateOrder_Safe với ProductId = 1, Quantity = 999999</t>
  </si>
  <si>
    <t>Từ chối vì tồn kho không đủ; không tạo đơn hàng</t>
  </si>
  <si>
    <t>Thông báo: So luong ton kho khong du.</t>
  </si>
  <si>
    <t>ROLLBACK</t>
  </si>
  <si>
    <t>Tạo Orders trong transaction rồi chèn OrderItems với ProductId không hợp lệ</t>
  </si>
  <si>
    <t>Rollback transaction; số lượng Orders không tăng</t>
  </si>
  <si>
    <t>Orders count không thay đổi sau rollback</t>
  </si>
  <si>
    <t>Bảng</t>
  </si>
  <si>
    <t>Trước kiểm thử</t>
  </si>
  <si>
    <t>Sau kiểm thử</t>
  </si>
  <si>
    <t>Chênh lệch</t>
  </si>
  <si>
    <t>Đánh giá</t>
  </si>
  <si>
    <t>Users</t>
  </si>
  <si>
    <t>Brands</t>
  </si>
  <si>
    <t>Categories</t>
  </si>
  <si>
    <t>Customers</t>
  </si>
  <si>
    <t>Employees</t>
  </si>
  <si>
    <t>Products</t>
  </si>
  <si>
    <t>Orders</t>
  </si>
  <si>
    <t>OrderItems</t>
  </si>
  <si>
    <t>StockReceipts</t>
  </si>
  <si>
    <t>StockReceiptItems</t>
  </si>
  <si>
    <t>Loại ràng buộc</t>
  </si>
  <si>
    <t>Số lượng</t>
  </si>
  <si>
    <t>Ví dụ / phạm vi</t>
  </si>
  <si>
    <t>Các bảng chính; OrderItems và StockReceiptItems dùng khóa chính ghép.</t>
  </si>
  <si>
    <t>Brands.BrandName; Categories.CategoryName; Customers.Phone; Employees.Phone/UserId; Products.SKU; Suppliers.SupplierName; Users.Username.</t>
  </si>
  <si>
    <t>Liên kết giữa Customers, Employees, Orders, OrderItems, Products, StockReceipts, StockReceiptItems, Users, Suppliers, Brands, Categories.</t>
  </si>
  <si>
    <t>Kiểm tra số điện thoại, số lượng, giá, tồn kho, trạng thái đơn hàng và CompletedAt.</t>
  </si>
  <si>
    <t>Ví dụ IsActive = 1; CreatedAt/OrderDate/ReceivedAt = SYSDATETIME(); Status = 'draft'.</t>
  </si>
  <si>
    <t>Các cột bắt buộc không được để trống theo cấu trúc hiện tại.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</si>
</sst>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19">
    <dxf>
      <alignment horizontal="left" textRotation="0" indent="0" justifyLastLine="0" shrinkToFit="0" readingOrder="0"/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estCases" displayName="TestCases" ref="A1:F9" dataDxfId="0">
  <autoFilter ref="A1:F9"/>
  <tableColumns count="6">
    <tableColumn id="1" name="TC" dataDxfId="6"/>
    <tableColumn id="2" name="Nhóm kiểm thử" dataDxfId="5"/>
    <tableColumn id="3" name="Dữ liệu / thao tác đầu vào" dataDxfId="4"/>
    <tableColumn id="4" name="Kết quả mong đợi" dataDxfId="3"/>
    <tableColumn id="5" name="Kết quả thực tế" dataDxfId="2"/>
    <tableColumn id="6" name="Trạng thái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Comparison" displayName="DataComparison" ref="A1:E11" headerRowDxfId="9" dataDxfId="7" totalsRowDxfId="8">
  <autoFilter ref="A1:E11"/>
  <tableColumns count="5">
    <tableColumn id="1" name="Bảng" dataDxfId="14"/>
    <tableColumn id="2" name="Trước kiểm thử" dataDxfId="13"/>
    <tableColumn id="3" name="Sau kiểm thử" dataDxfId="12"/>
    <tableColumn id="4" name="Chênh lệch" dataDxfId="11"/>
    <tableColumn id="5" name="Đánh giá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nstraintSummary" displayName="ConstraintSummary" ref="A1:C7" dataDxfId="15">
  <autoFilter ref="A1:C7"/>
  <tableColumns count="3">
    <tableColumn id="1" name="Loại ràng buộc" dataDxfId="18"/>
    <tableColumn id="2" name="Số lượng" dataDxfId="17"/>
    <tableColumn id="3" name="Ví dụ / phạm vi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showGridLines="0" workbookViewId="0">
      <pane ySplit="1" topLeftCell="A2" activePane="bottomLeft" state="frozen"/>
      <selection pane="bottomLeft" activeCell="A14" sqref="A14"/>
    </sheetView>
  </sheetViews>
  <sheetFormatPr defaultRowHeight="14.4" x14ac:dyDescent="0.3"/>
  <cols>
    <col min="1" max="2" width="55" customWidth="1"/>
  </cols>
  <sheetData>
    <row r="1" spans="1:2" x14ac:dyDescent="0.3">
      <c r="A1" s="2" t="s">
        <v>0</v>
      </c>
      <c r="B1" s="2"/>
    </row>
    <row r="2" spans="1:2" x14ac:dyDescent="0.3">
      <c r="A2" s="3" t="s">
        <v>1</v>
      </c>
      <c r="B2" s="3" t="s">
        <v>2</v>
      </c>
    </row>
    <row r="3" spans="1:2" x14ac:dyDescent="0.3">
      <c r="A3" s="3" t="s">
        <v>3</v>
      </c>
      <c r="B3" s="3" t="s">
        <v>4</v>
      </c>
    </row>
    <row r="4" spans="1:2" x14ac:dyDescent="0.3">
      <c r="A4" s="3" t="s">
        <v>5</v>
      </c>
      <c r="B4" s="3" t="s">
        <v>6</v>
      </c>
    </row>
    <row r="5" spans="1:2" x14ac:dyDescent="0.3">
      <c r="A5" s="3" t="s">
        <v>7</v>
      </c>
      <c r="B5" s="3">
        <v>8</v>
      </c>
    </row>
    <row r="6" spans="1:2" x14ac:dyDescent="0.3">
      <c r="A6" s="3" t="s">
        <v>8</v>
      </c>
      <c r="B6" s="3">
        <v>8</v>
      </c>
    </row>
    <row r="7" spans="1:2" x14ac:dyDescent="0.3">
      <c r="A7" s="3" t="s">
        <v>9</v>
      </c>
      <c r="B7" s="3">
        <v>0</v>
      </c>
    </row>
    <row r="8" spans="1:2" x14ac:dyDescent="0.3">
      <c r="A8" s="3" t="s">
        <v>10</v>
      </c>
      <c r="B8" s="6">
        <f>B6/B5</f>
        <v>1</v>
      </c>
    </row>
    <row r="9" spans="1:2" ht="40.049999999999997" customHeight="1" x14ac:dyDescent="0.3">
      <c r="A9" s="3" t="s">
        <v>11</v>
      </c>
      <c r="B9" s="3" t="s">
        <v>12</v>
      </c>
    </row>
    <row r="10" spans="1:2" x14ac:dyDescent="0.3">
      <c r="A10" s="7"/>
      <c r="B10" s="7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showGridLines="0" topLeftCell="B1" workbookViewId="0">
      <pane ySplit="1" topLeftCell="A2" activePane="bottomLeft" state="frozen"/>
      <selection pane="bottomLeft" activeCell="C14" sqref="C14"/>
    </sheetView>
  </sheetViews>
  <sheetFormatPr defaultRowHeight="14.4" x14ac:dyDescent="0.3"/>
  <cols>
    <col min="1" max="1" width="8" customWidth="1"/>
    <col min="2" max="2" width="20" customWidth="1"/>
    <col min="3" max="5" width="55" customWidth="1"/>
    <col min="6" max="6" width="14" customWidth="1"/>
  </cols>
  <sheetData>
    <row r="1" spans="1:6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3">
      <c r="A2" s="3">
        <v>1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8</v>
      </c>
    </row>
    <row r="3" spans="1:6" x14ac:dyDescent="0.3">
      <c r="A3" s="3">
        <v>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8</v>
      </c>
    </row>
    <row r="4" spans="1:6" x14ac:dyDescent="0.3">
      <c r="A4" s="3">
        <v>3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8</v>
      </c>
    </row>
    <row r="5" spans="1:6" x14ac:dyDescent="0.3">
      <c r="A5" s="3">
        <v>4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8</v>
      </c>
    </row>
    <row r="6" spans="1:6" x14ac:dyDescent="0.3">
      <c r="A6" s="3">
        <v>5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8</v>
      </c>
    </row>
    <row r="7" spans="1:6" x14ac:dyDescent="0.3">
      <c r="A7" s="3">
        <v>6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8</v>
      </c>
    </row>
    <row r="8" spans="1:6" x14ac:dyDescent="0.3">
      <c r="A8" s="3">
        <v>7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8</v>
      </c>
    </row>
    <row r="9" spans="1:6" ht="28.8" x14ac:dyDescent="0.3">
      <c r="A9" s="3">
        <v>8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8</v>
      </c>
    </row>
    <row r="10" spans="1:6" x14ac:dyDescent="0.3">
      <c r="A10" s="4"/>
      <c r="B10" s="4"/>
      <c r="C10" s="4"/>
      <c r="D10" s="4"/>
      <c r="E10" s="4"/>
      <c r="F10" s="4"/>
    </row>
    <row r="11" spans="1:6" x14ac:dyDescent="0.3">
      <c r="A11" s="4"/>
      <c r="B11" s="4"/>
      <c r="C11" s="4"/>
      <c r="D11" s="4"/>
      <c r="E11" s="4"/>
      <c r="F11" s="4"/>
    </row>
    <row r="12" spans="1:6" x14ac:dyDescent="0.3">
      <c r="A12" s="4"/>
      <c r="B12" s="4"/>
      <c r="C12" s="4"/>
      <c r="D12" s="4"/>
      <c r="E12" s="4"/>
      <c r="F12" s="4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showGridLines="0" workbookViewId="0">
      <pane ySplit="1" topLeftCell="A2" activePane="bottomLeft" state="frozen"/>
      <selection pane="bottomLeft" activeCell="E15" sqref="A1:E15"/>
    </sheetView>
  </sheetViews>
  <sheetFormatPr defaultRowHeight="14.4" x14ac:dyDescent="0.3"/>
  <cols>
    <col min="1" max="1" width="24" customWidth="1"/>
    <col min="2" max="3" width="18" customWidth="1"/>
    <col min="4" max="4" width="16" customWidth="1"/>
    <col min="5" max="5" width="24" customWidth="1"/>
  </cols>
  <sheetData>
    <row r="1" spans="1:5" x14ac:dyDescent="0.3">
      <c r="A1" s="5" t="s">
        <v>51</v>
      </c>
      <c r="B1" s="5" t="s">
        <v>52</v>
      </c>
      <c r="C1" s="5" t="s">
        <v>53</v>
      </c>
      <c r="D1" s="5" t="s">
        <v>54</v>
      </c>
      <c r="E1" s="5" t="s">
        <v>55</v>
      </c>
    </row>
    <row r="2" spans="1:5" x14ac:dyDescent="0.3">
      <c r="A2" s="3" t="s">
        <v>56</v>
      </c>
      <c r="B2" s="3">
        <v>33</v>
      </c>
      <c r="C2" s="3">
        <v>33</v>
      </c>
      <c r="D2" s="3">
        <f t="shared" ref="D2:D11" si="0">C2-B2</f>
        <v>0</v>
      </c>
      <c r="E2" s="3" t="str">
        <f t="shared" ref="E2:E11" si="1">IF(D2=0,"Không thay đổi","Có thay đổi")</f>
        <v>Không thay đổi</v>
      </c>
    </row>
    <row r="3" spans="1:5" x14ac:dyDescent="0.3">
      <c r="A3" s="3" t="s">
        <v>57</v>
      </c>
      <c r="B3" s="3">
        <v>6</v>
      </c>
      <c r="C3" s="3">
        <v>6</v>
      </c>
      <c r="D3" s="3">
        <f t="shared" si="0"/>
        <v>0</v>
      </c>
      <c r="E3" s="3" t="str">
        <f t="shared" si="1"/>
        <v>Không thay đổi</v>
      </c>
    </row>
    <row r="4" spans="1:5" x14ac:dyDescent="0.3">
      <c r="A4" s="3" t="s">
        <v>58</v>
      </c>
      <c r="B4" s="3">
        <v>4</v>
      </c>
      <c r="C4" s="3">
        <v>4</v>
      </c>
      <c r="D4" s="3">
        <f t="shared" si="0"/>
        <v>0</v>
      </c>
      <c r="E4" s="3" t="str">
        <f t="shared" si="1"/>
        <v>Không thay đổi</v>
      </c>
    </row>
    <row r="5" spans="1:5" x14ac:dyDescent="0.3">
      <c r="A5" s="3" t="s">
        <v>59</v>
      </c>
      <c r="B5" s="3">
        <v>35</v>
      </c>
      <c r="C5" s="3">
        <v>35</v>
      </c>
      <c r="D5" s="3">
        <f t="shared" si="0"/>
        <v>0</v>
      </c>
      <c r="E5" s="3" t="str">
        <f t="shared" si="1"/>
        <v>Không thay đổi</v>
      </c>
    </row>
    <row r="6" spans="1:5" x14ac:dyDescent="0.3">
      <c r="A6" s="3" t="s">
        <v>60</v>
      </c>
      <c r="B6" s="3">
        <v>2</v>
      </c>
      <c r="C6" s="3">
        <v>2</v>
      </c>
      <c r="D6" s="3">
        <f t="shared" si="0"/>
        <v>0</v>
      </c>
      <c r="E6" s="3" t="str">
        <f t="shared" si="1"/>
        <v>Không thay đổi</v>
      </c>
    </row>
    <row r="7" spans="1:5" x14ac:dyDescent="0.3">
      <c r="A7" s="3" t="s">
        <v>61</v>
      </c>
      <c r="B7" s="3">
        <v>40</v>
      </c>
      <c r="C7" s="3">
        <v>40</v>
      </c>
      <c r="D7" s="3">
        <f t="shared" si="0"/>
        <v>0</v>
      </c>
      <c r="E7" s="3" t="str">
        <f t="shared" si="1"/>
        <v>Không thay đổi</v>
      </c>
    </row>
    <row r="8" spans="1:5" x14ac:dyDescent="0.3">
      <c r="A8" s="3" t="s">
        <v>62</v>
      </c>
      <c r="B8" s="3">
        <v>30</v>
      </c>
      <c r="C8" s="3">
        <v>30</v>
      </c>
      <c r="D8" s="3">
        <f t="shared" si="0"/>
        <v>0</v>
      </c>
      <c r="E8" s="3" t="str">
        <f t="shared" si="1"/>
        <v>Không thay đổi</v>
      </c>
    </row>
    <row r="9" spans="1:5" x14ac:dyDescent="0.3">
      <c r="A9" s="3" t="s">
        <v>63</v>
      </c>
      <c r="B9" s="3">
        <v>60</v>
      </c>
      <c r="C9" s="3">
        <v>60</v>
      </c>
      <c r="D9" s="3">
        <f t="shared" si="0"/>
        <v>0</v>
      </c>
      <c r="E9" s="3" t="str">
        <f t="shared" si="1"/>
        <v>Không thay đổi</v>
      </c>
    </row>
    <row r="10" spans="1:5" x14ac:dyDescent="0.3">
      <c r="A10" s="3" t="s">
        <v>64</v>
      </c>
      <c r="B10" s="3">
        <v>10</v>
      </c>
      <c r="C10" s="3">
        <v>10</v>
      </c>
      <c r="D10" s="3">
        <f t="shared" si="0"/>
        <v>0</v>
      </c>
      <c r="E10" s="3" t="str">
        <f t="shared" si="1"/>
        <v>Không thay đổi</v>
      </c>
    </row>
    <row r="11" spans="1:5" x14ac:dyDescent="0.3">
      <c r="A11" s="3" t="s">
        <v>65</v>
      </c>
      <c r="B11" s="3">
        <v>40</v>
      </c>
      <c r="C11" s="3">
        <v>40</v>
      </c>
      <c r="D11" s="3">
        <f t="shared" si="0"/>
        <v>0</v>
      </c>
      <c r="E11" s="3" t="str">
        <f t="shared" si="1"/>
        <v>Không thay đổi</v>
      </c>
    </row>
    <row r="12" spans="1:5" x14ac:dyDescent="0.3">
      <c r="A12" s="4"/>
      <c r="B12" s="4"/>
      <c r="C12" s="4"/>
      <c r="D12" s="4"/>
      <c r="E12" s="4"/>
    </row>
    <row r="13" spans="1:5" x14ac:dyDescent="0.3">
      <c r="A13" s="4"/>
      <c r="B13" s="4"/>
      <c r="C13" s="4"/>
      <c r="D13" s="4"/>
      <c r="E13" s="4"/>
    </row>
    <row r="14" spans="1:5" x14ac:dyDescent="0.3">
      <c r="A14" s="4"/>
      <c r="B14" s="4"/>
      <c r="C14" s="4"/>
      <c r="D14" s="4"/>
      <c r="E14" s="4"/>
    </row>
    <row r="15" spans="1:5" x14ac:dyDescent="0.3">
      <c r="A15" s="4"/>
      <c r="B15" s="4"/>
      <c r="C15" s="4"/>
      <c r="D15" s="4"/>
      <c r="E15" s="4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showGridLines="0" tabSelected="1" workbookViewId="0">
      <pane ySplit="1" topLeftCell="A2" activePane="bottomLeft" state="frozen"/>
      <selection pane="bottomLeft" activeCell="C16" sqref="C16"/>
    </sheetView>
  </sheetViews>
  <sheetFormatPr defaultRowHeight="14.4" x14ac:dyDescent="0.3"/>
  <cols>
    <col min="1" max="1" width="22" customWidth="1"/>
    <col min="2" max="2" width="14" customWidth="1"/>
    <col min="3" max="3" width="105" customWidth="1"/>
  </cols>
  <sheetData>
    <row r="1" spans="1:3" x14ac:dyDescent="0.3">
      <c r="A1" s="1" t="s">
        <v>66</v>
      </c>
      <c r="B1" s="1" t="s">
        <v>67</v>
      </c>
      <c r="C1" s="1" t="s">
        <v>68</v>
      </c>
    </row>
    <row r="2" spans="1:3" x14ac:dyDescent="0.3">
      <c r="A2" s="3" t="s">
        <v>19</v>
      </c>
      <c r="B2" s="3">
        <v>12</v>
      </c>
      <c r="C2" s="3" t="s">
        <v>69</v>
      </c>
    </row>
    <row r="3" spans="1:3" ht="28.8" x14ac:dyDescent="0.3">
      <c r="A3" s="3" t="s">
        <v>27</v>
      </c>
      <c r="B3" s="3">
        <v>8</v>
      </c>
      <c r="C3" s="3" t="s">
        <v>70</v>
      </c>
    </row>
    <row r="4" spans="1:3" ht="28.8" x14ac:dyDescent="0.3">
      <c r="A4" s="3" t="s">
        <v>23</v>
      </c>
      <c r="B4" s="3">
        <v>12</v>
      </c>
      <c r="C4" s="3" t="s">
        <v>71</v>
      </c>
    </row>
    <row r="5" spans="1:3" x14ac:dyDescent="0.3">
      <c r="A5" s="3" t="s">
        <v>35</v>
      </c>
      <c r="B5" s="3">
        <v>13</v>
      </c>
      <c r="C5" s="3" t="s">
        <v>72</v>
      </c>
    </row>
    <row r="6" spans="1:3" x14ac:dyDescent="0.3">
      <c r="A6" s="3" t="s">
        <v>39</v>
      </c>
      <c r="B6" s="3">
        <v>17</v>
      </c>
      <c r="C6" s="3" t="s">
        <v>73</v>
      </c>
    </row>
    <row r="7" spans="1:3" x14ac:dyDescent="0.3">
      <c r="A7" s="3" t="s">
        <v>31</v>
      </c>
      <c r="B7" s="3">
        <v>53</v>
      </c>
      <c r="C7" s="3" t="s">
        <v>74</v>
      </c>
    </row>
    <row r="8" spans="1:3" x14ac:dyDescent="0.3">
      <c r="A8" s="4"/>
      <c r="B8" s="4"/>
      <c r="C8" s="4"/>
    </row>
    <row r="9" spans="1:3" x14ac:dyDescent="0.3">
      <c r="A9" s="4"/>
      <c r="B9" s="4"/>
      <c r="C9" s="4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Tong_quan</vt:lpstr>
      <vt:lpstr>Chi_tiet_test</vt:lpstr>
      <vt:lpstr>Doi_chieu_du_lieu</vt:lpstr>
      <vt:lpstr>Tong_hop_rang_buoc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</cp:lastModifiedBy>
  <dcterms:created xsi:type="dcterms:W3CDTF">2026-10-31T10:00:33Z</dcterms:created>
  <dcterms:modified xsi:type="dcterms:W3CDTF">2026-10-31T10:09:41Z</dcterms:modified>
</cp:coreProperties>
</file>